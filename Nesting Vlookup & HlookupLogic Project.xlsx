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45D8F715-324D-4AE2-BCD2-4EA83E5772C6}" xr6:coauthVersionLast="47" xr6:coauthVersionMax="47" xr10:uidLastSave="{00000000-0000-0000-0000-000000000000}"/>
  <bookViews>
    <workbookView xWindow="-108" yWindow="-108" windowWidth="23256" windowHeight="12456" xr2:uid="{BA37CF2F-B01A-4AB6-BD1F-2A173B126C22}"/>
  </bookViews>
  <sheets>
    <sheet name="Vlookup" sheetId="1" r:id="rId1"/>
    <sheet name="H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I17" i="2"/>
  <c r="I13" i="2"/>
  <c r="I7" i="2"/>
  <c r="M14" i="1"/>
  <c r="M15" i="1"/>
  <c r="M12" i="1"/>
  <c r="H15" i="1"/>
  <c r="H16" i="1"/>
  <c r="H17" i="1"/>
  <c r="H14" i="1"/>
  <c r="C15" i="1"/>
  <c r="C16" i="1"/>
  <c r="C17" i="1"/>
  <c r="C14" i="1"/>
</calcChain>
</file>

<file path=xl/sharedStrings.xml><?xml version="1.0" encoding="utf-8"?>
<sst xmlns="http://schemas.openxmlformats.org/spreadsheetml/2006/main" count="143" uniqueCount="43">
  <si>
    <t>Name</t>
  </si>
  <si>
    <t>Department_ID</t>
  </si>
  <si>
    <t>Class_Teacher</t>
  </si>
  <si>
    <t>Riya Sharma</t>
  </si>
  <si>
    <t>D01</t>
  </si>
  <si>
    <t>Mr. Mehta</t>
  </si>
  <si>
    <t>Aarav Patel</t>
  </si>
  <si>
    <t>D02</t>
  </si>
  <si>
    <t>Ms. Kapoor</t>
  </si>
  <si>
    <t>Neha Singh</t>
  </si>
  <si>
    <t>D03</t>
  </si>
  <si>
    <t>Mr. Iyer</t>
  </si>
  <si>
    <t>Karan Verma</t>
  </si>
  <si>
    <t>Tanya Das</t>
  </si>
  <si>
    <t>D04</t>
  </si>
  <si>
    <t>Ms. Roy</t>
  </si>
  <si>
    <t>HOD_of_Department</t>
  </si>
  <si>
    <t>Dr. S. Nair</t>
  </si>
  <si>
    <t>Dr. A. Khanna</t>
  </si>
  <si>
    <t>Dr. P. Gupta</t>
  </si>
  <si>
    <t>Dr. R. Bansal</t>
  </si>
  <si>
    <t>HOD_Name</t>
  </si>
  <si>
    <t>Department_Name</t>
  </si>
  <si>
    <t>Major_Subject</t>
  </si>
  <si>
    <t>Computer Science</t>
  </si>
  <si>
    <t>Data Structures</t>
  </si>
  <si>
    <t>Mechanical Engg.</t>
  </si>
  <si>
    <t>Thermodynamics</t>
  </si>
  <si>
    <t>Electronics Engg.</t>
  </si>
  <si>
    <t>Digital Circuits</t>
  </si>
  <si>
    <t>Civil Engg.</t>
  </si>
  <si>
    <t>Structural Design</t>
  </si>
  <si>
    <t>Credit</t>
  </si>
  <si>
    <t>Duration_of_Course</t>
  </si>
  <si>
    <t>6 months</t>
  </si>
  <si>
    <t>5 months</t>
  </si>
  <si>
    <t>Table 1: Student_Information</t>
  </si>
  <si>
    <t>Table 2: Department_info</t>
  </si>
  <si>
    <t>Table 3: HOD_info</t>
  </si>
  <si>
    <t>Table 4: Subject_info</t>
  </si>
  <si>
    <t>Nested Double Vlookup</t>
  </si>
  <si>
    <t>Nested Double Hlookup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</si>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</sst>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 val="double"/>
      <sz val="16"/>
      <color theme="1"/>
      <name val="Aptos Narrow"/>
      <family val="2"/>
      <scheme val="minor"/>
    </font>
    <font>
      <b/>
      <u val="double"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1D3DF8-9DC6-4D12-869F-1F39A3CB147F}" name="Table1" displayName="Table1" ref="A3:C8" totalsRowShown="0" headerRowDxfId="20" headerRowBorderDxfId="25" tableBorderDxfId="26" totalsRowBorderDxfId="24">
  <autoFilter ref="A3:C8" xr:uid="{9E1D3DF8-9DC6-4D12-869F-1F39A3CB147F}"/>
  <tableColumns count="3">
    <tableColumn id="1" xr3:uid="{94DFDCA2-0DA8-4F54-8F23-D2488407B473}" name="Column1" dataDxfId="23"/>
    <tableColumn id="2" xr3:uid="{9E4C280F-A0A9-410B-A739-8E5524B2208E}" name="Department_ID" dataDxfId="22"/>
    <tableColumn id="3" xr3:uid="{4A8585FD-F13C-48F6-B549-4D3D63C17008}" name="Class_Teacher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32CFE4-3E7E-477B-9F72-75EC26FF73CF}" name="Table2" displayName="Table2" ref="G3:H7" totalsRowShown="0" headerRowDxfId="14" headerRowBorderDxfId="18" tableBorderDxfId="19" totalsRowBorderDxfId="17">
  <autoFilter ref="G3:H7" xr:uid="{7232CFE4-3E7E-477B-9F72-75EC26FF73CF}"/>
  <tableColumns count="2">
    <tableColumn id="1" xr3:uid="{14D57769-851F-4E50-A0F6-BA2B9AF144F7}" name="Department_ID" dataDxfId="16"/>
    <tableColumn id="2" xr3:uid="{5BA3F0AB-8CC6-4D86-ACF4-C8A13BEB7B00}" name="HOD_of_Department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739E94-E964-40A3-A457-EA9A09E8FA22}" name="Table3" displayName="Table3" ref="L3:N7" totalsRowShown="0" headerRowDxfId="7" headerRowBorderDxfId="12" tableBorderDxfId="13" totalsRowBorderDxfId="11">
  <autoFilter ref="L3:N7" xr:uid="{3C739E94-E964-40A3-A457-EA9A09E8FA22}"/>
  <tableColumns count="3">
    <tableColumn id="1" xr3:uid="{602FDE63-6256-452C-A1BE-9243D911CA0B}" name="HOD_Name" dataDxfId="10"/>
    <tableColumn id="2" xr3:uid="{07D03224-907B-4C44-9159-E572FC787363}" name="Department_Name" dataDxfId="9"/>
    <tableColumn id="3" xr3:uid="{38C6C353-2F2D-4A6E-AC05-B0F59AB2A943}" name="Major_Subject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3F0BC6-2964-4B0F-817E-714365308589}" name="Table4" displayName="Table4" ref="R3:T7" totalsRowShown="0" headerRowDxfId="0" headerRowBorderDxfId="5" tableBorderDxfId="6" totalsRowBorderDxfId="4">
  <autoFilter ref="R3:T7" xr:uid="{763F0BC6-2964-4B0F-817E-714365308589}"/>
  <tableColumns count="3">
    <tableColumn id="1" xr3:uid="{D1553B05-3729-4203-B96F-F9BB11CC9B8C}" name="Major_Subject" dataDxfId="3"/>
    <tableColumn id="2" xr3:uid="{15B21E35-308D-4597-A126-069C84758D7A}" name="Credit" dataDxfId="2"/>
    <tableColumn id="3" xr3:uid="{3414F8DA-D462-40A6-BAB0-9DD5FB957A08}" name="Duration_of_Course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17B4-03AA-4A83-862C-ED5A0F31132E}">
  <dimension ref="A1:T17"/>
  <sheetViews>
    <sheetView tabSelected="1" zoomScale="85" zoomScaleNormal="85" workbookViewId="0">
      <selection activeCell="A3" sqref="A3"/>
    </sheetView>
  </sheetViews>
  <sheetFormatPr defaultRowHeight="14.4" x14ac:dyDescent="0.3"/>
  <cols>
    <col min="1" max="1" width="17.33203125" customWidth="1"/>
    <col min="2" max="2" width="18.6640625" customWidth="1"/>
    <col min="3" max="3" width="20.44140625" customWidth="1"/>
    <col min="4" max="4" width="8.77734375" customWidth="1"/>
    <col min="5" max="6" width="8.88671875" hidden="1" customWidth="1"/>
    <col min="7" max="7" width="18.6640625" customWidth="1"/>
    <col min="8" max="8" width="24.21875" customWidth="1"/>
    <col min="9" max="9" width="8.6640625" customWidth="1"/>
    <col min="10" max="11" width="8.88671875" hidden="1" customWidth="1"/>
    <col min="12" max="12" width="18.88671875" customWidth="1"/>
    <col min="13" max="13" width="22.33203125" customWidth="1"/>
    <col min="14" max="14" width="18.5546875" customWidth="1"/>
    <col min="15" max="15" width="8.88671875" customWidth="1"/>
    <col min="16" max="16" width="0.109375" customWidth="1"/>
    <col min="17" max="17" width="8.88671875" hidden="1" customWidth="1"/>
    <col min="18" max="18" width="18.44140625" customWidth="1"/>
    <col min="19" max="19" width="20.77734375" customWidth="1"/>
    <col min="20" max="20" width="23.21875" customWidth="1"/>
  </cols>
  <sheetData>
    <row r="1" spans="1:20" x14ac:dyDescent="0.3">
      <c r="A1" s="1" t="s">
        <v>36</v>
      </c>
      <c r="B1" s="1"/>
      <c r="C1" s="1"/>
      <c r="G1" s="1" t="s">
        <v>37</v>
      </c>
      <c r="H1" s="1"/>
      <c r="L1" s="1" t="s">
        <v>38</v>
      </c>
      <c r="M1" s="1"/>
      <c r="N1" s="1"/>
      <c r="R1" s="1" t="s">
        <v>39</v>
      </c>
      <c r="S1" s="1"/>
      <c r="T1" s="1"/>
    </row>
    <row r="2" spans="1:20" x14ac:dyDescent="0.3">
      <c r="A2" s="1"/>
      <c r="B2" s="1"/>
      <c r="C2" s="1"/>
      <c r="G2" s="1"/>
      <c r="H2" s="1"/>
      <c r="L2" s="1"/>
      <c r="M2" s="1"/>
      <c r="N2" s="1"/>
      <c r="R2" s="1"/>
      <c r="S2" s="1"/>
      <c r="T2" s="1"/>
    </row>
    <row r="3" spans="1:20" x14ac:dyDescent="0.3">
      <c r="A3" s="5" t="s">
        <v>42</v>
      </c>
      <c r="B3" s="6" t="s">
        <v>1</v>
      </c>
      <c r="C3" s="7" t="s">
        <v>2</v>
      </c>
      <c r="G3" s="5" t="s">
        <v>1</v>
      </c>
      <c r="H3" s="7" t="s">
        <v>16</v>
      </c>
      <c r="L3" s="5" t="s">
        <v>21</v>
      </c>
      <c r="M3" s="6" t="s">
        <v>22</v>
      </c>
      <c r="N3" s="7" t="s">
        <v>23</v>
      </c>
      <c r="R3" s="5" t="s">
        <v>23</v>
      </c>
      <c r="S3" s="6" t="s">
        <v>32</v>
      </c>
      <c r="T3" s="7" t="s">
        <v>33</v>
      </c>
    </row>
    <row r="4" spans="1:20" x14ac:dyDescent="0.3">
      <c r="A4" s="3" t="s">
        <v>3</v>
      </c>
      <c r="B4" s="2" t="s">
        <v>4</v>
      </c>
      <c r="C4" s="4" t="s">
        <v>5</v>
      </c>
      <c r="G4" s="3" t="s">
        <v>4</v>
      </c>
      <c r="H4" s="4" t="s">
        <v>17</v>
      </c>
      <c r="L4" s="3" t="s">
        <v>17</v>
      </c>
      <c r="M4" s="2" t="s">
        <v>24</v>
      </c>
      <c r="N4" s="4" t="s">
        <v>25</v>
      </c>
      <c r="R4" s="3" t="s">
        <v>25</v>
      </c>
      <c r="S4" s="2">
        <v>4</v>
      </c>
      <c r="T4" s="4" t="s">
        <v>34</v>
      </c>
    </row>
    <row r="5" spans="1:20" x14ac:dyDescent="0.3">
      <c r="A5" s="3" t="s">
        <v>6</v>
      </c>
      <c r="B5" s="2" t="s">
        <v>7</v>
      </c>
      <c r="C5" s="4" t="s">
        <v>8</v>
      </c>
      <c r="G5" s="3" t="s">
        <v>7</v>
      </c>
      <c r="H5" s="4" t="s">
        <v>18</v>
      </c>
      <c r="L5" s="3" t="s">
        <v>18</v>
      </c>
      <c r="M5" s="2" t="s">
        <v>26</v>
      </c>
      <c r="N5" s="4" t="s">
        <v>27</v>
      </c>
      <c r="R5" s="3" t="s">
        <v>27</v>
      </c>
      <c r="S5" s="2">
        <v>3</v>
      </c>
      <c r="T5" s="4" t="s">
        <v>35</v>
      </c>
    </row>
    <row r="6" spans="1:20" x14ac:dyDescent="0.3">
      <c r="A6" s="3" t="s">
        <v>9</v>
      </c>
      <c r="B6" s="2" t="s">
        <v>10</v>
      </c>
      <c r="C6" s="4" t="s">
        <v>11</v>
      </c>
      <c r="G6" s="3" t="s">
        <v>10</v>
      </c>
      <c r="H6" s="4" t="s">
        <v>19</v>
      </c>
      <c r="L6" s="3" t="s">
        <v>19</v>
      </c>
      <c r="M6" s="2" t="s">
        <v>28</v>
      </c>
      <c r="N6" s="4" t="s">
        <v>29</v>
      </c>
      <c r="R6" s="3" t="s">
        <v>29</v>
      </c>
      <c r="S6" s="2">
        <v>4</v>
      </c>
      <c r="T6" s="4" t="s">
        <v>34</v>
      </c>
    </row>
    <row r="7" spans="1:20" x14ac:dyDescent="0.3">
      <c r="A7" s="3" t="s">
        <v>12</v>
      </c>
      <c r="B7" s="2" t="s">
        <v>4</v>
      </c>
      <c r="C7" s="4" t="s">
        <v>5</v>
      </c>
      <c r="G7" s="8" t="s">
        <v>14</v>
      </c>
      <c r="H7" s="10" t="s">
        <v>20</v>
      </c>
      <c r="L7" s="8" t="s">
        <v>20</v>
      </c>
      <c r="M7" s="9" t="s">
        <v>30</v>
      </c>
      <c r="N7" s="10" t="s">
        <v>31</v>
      </c>
      <c r="R7" s="8" t="s">
        <v>31</v>
      </c>
      <c r="S7" s="9">
        <v>3</v>
      </c>
      <c r="T7" s="10" t="s">
        <v>35</v>
      </c>
    </row>
    <row r="8" spans="1:20" x14ac:dyDescent="0.3">
      <c r="A8" s="8" t="s">
        <v>13</v>
      </c>
      <c r="B8" s="9" t="s">
        <v>14</v>
      </c>
      <c r="C8" s="10" t="s">
        <v>15</v>
      </c>
    </row>
    <row r="11" spans="1:20" x14ac:dyDescent="0.3">
      <c r="B11" s="15" t="s">
        <v>40</v>
      </c>
      <c r="C11" s="15"/>
      <c r="G11" s="15" t="s">
        <v>40</v>
      </c>
      <c r="H11" s="15"/>
      <c r="L11" s="12" t="s">
        <v>0</v>
      </c>
      <c r="M11" s="12" t="s">
        <v>33</v>
      </c>
    </row>
    <row r="12" spans="1:20" x14ac:dyDescent="0.3">
      <c r="B12" s="15"/>
      <c r="C12" s="15"/>
      <c r="G12" s="15"/>
      <c r="H12" s="15"/>
      <c r="L12" s="13" t="s">
        <v>3</v>
      </c>
      <c r="M12" s="11" t="str">
        <f>(VLOOKUP(VLOOKUP(VLOOKUP(VLOOKUP(L12,Table1[#All],2,0),Table2[#All],2,0),Table3[#All],3,0),Table4[#All],3,0))</f>
        <v>6 months</v>
      </c>
    </row>
    <row r="13" spans="1:20" x14ac:dyDescent="0.3">
      <c r="B13" s="12" t="s">
        <v>0</v>
      </c>
      <c r="C13" s="12" t="s">
        <v>16</v>
      </c>
      <c r="G13" s="12" t="s">
        <v>1</v>
      </c>
      <c r="H13" s="12" t="s">
        <v>23</v>
      </c>
      <c r="L13" s="14" t="s">
        <v>6</v>
      </c>
      <c r="M13" s="11" t="str">
        <f>(VLOOKUP(VLOOKUP(VLOOKUP(VLOOKUP(L13,Table1[#All],2,0),Table2[#All],2,0),Table3[#All],3,0),Table4[#All],3,0))</f>
        <v>5 months</v>
      </c>
    </row>
    <row r="14" spans="1:20" x14ac:dyDescent="0.3">
      <c r="B14" s="13" t="s">
        <v>3</v>
      </c>
      <c r="C14" s="11" t="str">
        <f>VLOOKUP(VLOOKUP(B14,Table1[#All],2,0),Table2[#All],2,0)</f>
        <v>Dr. S. Nair</v>
      </c>
      <c r="G14" s="13" t="s">
        <v>4</v>
      </c>
      <c r="H14" s="11" t="str">
        <f>VLOOKUP(VLOOKUP(G14,Table2[#All],2,0),Table3[#All],3,)</f>
        <v>Data Structures</v>
      </c>
      <c r="L14" s="13" t="s">
        <v>9</v>
      </c>
      <c r="M14" s="11" t="str">
        <f>(VLOOKUP(VLOOKUP(VLOOKUP(VLOOKUP(L14,Table1[#All],2,0),Table2[#All],2,0),Table3[#All],3,0),Table4[#All],3,0))</f>
        <v>6 months</v>
      </c>
    </row>
    <row r="15" spans="1:20" x14ac:dyDescent="0.3">
      <c r="B15" s="14" t="s">
        <v>6</v>
      </c>
      <c r="C15" s="11" t="str">
        <f>VLOOKUP(VLOOKUP(B15,Table1[#All],2,0),Table2[#All],2,0)</f>
        <v>Dr. A. Khanna</v>
      </c>
      <c r="G15" s="14" t="s">
        <v>7</v>
      </c>
      <c r="H15" s="11" t="str">
        <f>VLOOKUP(VLOOKUP(G15,Table2[#All],2,0),Table3[#All],3,)</f>
        <v>Thermodynamics</v>
      </c>
      <c r="L15" s="14" t="s">
        <v>12</v>
      </c>
      <c r="M15" s="11" t="str">
        <f>(VLOOKUP(VLOOKUP(VLOOKUP(VLOOKUP(L15,Table1[#All],2,0),Table2[#All],2,0),Table3[#All],3,0),Table4[#All],3,0))</f>
        <v>6 months</v>
      </c>
    </row>
    <row r="16" spans="1:20" x14ac:dyDescent="0.3">
      <c r="B16" s="13" t="s">
        <v>9</v>
      </c>
      <c r="C16" s="11" t="str">
        <f>VLOOKUP(VLOOKUP(B16,Table1[#All],2,0),Table2[#All],2,0)</f>
        <v>Dr. P. Gupta</v>
      </c>
      <c r="G16" s="13" t="s">
        <v>10</v>
      </c>
      <c r="H16" s="11" t="str">
        <f>VLOOKUP(VLOOKUP(G16,Table2[#All],2,0),Table3[#All],3,)</f>
        <v>Digital Circuits</v>
      </c>
    </row>
    <row r="17" spans="2:8" x14ac:dyDescent="0.3">
      <c r="B17" s="14" t="s">
        <v>12</v>
      </c>
      <c r="C17" s="11" t="str">
        <f>VLOOKUP(VLOOKUP(B17,Table1[#All],2,0),Table2[#All],2,0)</f>
        <v>Dr. S. Nair</v>
      </c>
      <c r="G17" s="14" t="s">
        <v>14</v>
      </c>
      <c r="H17" s="11" t="str">
        <f>VLOOKUP(VLOOKUP(G17,Table2[#All],2,0),Table3[#All],3,)</f>
        <v>Structural Design</v>
      </c>
    </row>
  </sheetData>
  <mergeCells count="6">
    <mergeCell ref="A1:C2"/>
    <mergeCell ref="G1:H2"/>
    <mergeCell ref="L1:N2"/>
    <mergeCell ref="R1:T2"/>
    <mergeCell ref="B11:C12"/>
    <mergeCell ref="G11:H1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1BAE-5CCE-4629-9F09-D52F0C21AA3C}">
  <dimension ref="A4:I20"/>
  <sheetViews>
    <sheetView workbookViewId="0">
      <selection activeCell="C23" sqref="C23"/>
    </sheetView>
  </sheetViews>
  <sheetFormatPr defaultRowHeight="14.4" x14ac:dyDescent="0.3"/>
  <cols>
    <col min="1" max="1" width="20" customWidth="1"/>
    <col min="2" max="2" width="16.109375" customWidth="1"/>
    <col min="3" max="3" width="19.5546875" customWidth="1"/>
    <col min="4" max="4" width="14.77734375" bestFit="1" customWidth="1"/>
    <col min="5" max="5" width="17.6640625" customWidth="1"/>
    <col min="6" max="6" width="18" customWidth="1"/>
    <col min="8" max="8" width="16.109375" customWidth="1"/>
    <col min="9" max="9" width="19.33203125" customWidth="1"/>
  </cols>
  <sheetData>
    <row r="4" spans="1:9" x14ac:dyDescent="0.3">
      <c r="A4" s="12" t="s">
        <v>0</v>
      </c>
      <c r="B4" s="13" t="s">
        <v>3</v>
      </c>
      <c r="C4" s="14" t="s">
        <v>6</v>
      </c>
      <c r="D4" s="13" t="s">
        <v>9</v>
      </c>
      <c r="E4" s="14" t="s">
        <v>12</v>
      </c>
      <c r="F4" s="13" t="s">
        <v>13</v>
      </c>
      <c r="H4" s="15" t="s">
        <v>41</v>
      </c>
      <c r="I4" s="15"/>
    </row>
    <row r="5" spans="1:9" x14ac:dyDescent="0.3">
      <c r="A5" s="12" t="s">
        <v>1</v>
      </c>
      <c r="B5" s="13" t="s">
        <v>4</v>
      </c>
      <c r="C5" s="14" t="s">
        <v>7</v>
      </c>
      <c r="D5" s="13" t="s">
        <v>10</v>
      </c>
      <c r="E5" s="14" t="s">
        <v>4</v>
      </c>
      <c r="F5" s="13" t="s">
        <v>14</v>
      </c>
      <c r="H5" s="15"/>
      <c r="I5" s="15"/>
    </row>
    <row r="6" spans="1:9" x14ac:dyDescent="0.3">
      <c r="A6" s="12" t="s">
        <v>2</v>
      </c>
      <c r="B6" s="13" t="s">
        <v>5</v>
      </c>
      <c r="C6" s="14" t="s">
        <v>8</v>
      </c>
      <c r="D6" s="13" t="s">
        <v>11</v>
      </c>
      <c r="E6" s="14" t="s">
        <v>5</v>
      </c>
      <c r="F6" s="13" t="s">
        <v>15</v>
      </c>
      <c r="H6" s="12" t="s">
        <v>0</v>
      </c>
      <c r="I6" s="12" t="s">
        <v>16</v>
      </c>
    </row>
    <row r="7" spans="1:9" x14ac:dyDescent="0.3">
      <c r="H7" s="11" t="s">
        <v>3</v>
      </c>
      <c r="I7" s="11" t="str">
        <f>HLOOKUP(HLOOKUP(H7,A4:F6,2,0),A9:E10,2,0)</f>
        <v>Dr. S. Nair</v>
      </c>
    </row>
    <row r="9" spans="1:9" x14ac:dyDescent="0.3">
      <c r="A9" s="12" t="s">
        <v>1</v>
      </c>
      <c r="B9" s="13" t="s">
        <v>4</v>
      </c>
      <c r="C9" s="14" t="s">
        <v>7</v>
      </c>
      <c r="D9" s="13" t="s">
        <v>10</v>
      </c>
      <c r="E9" s="14" t="s">
        <v>14</v>
      </c>
    </row>
    <row r="10" spans="1:9" x14ac:dyDescent="0.3">
      <c r="A10" s="12" t="s">
        <v>16</v>
      </c>
      <c r="B10" s="13" t="s">
        <v>17</v>
      </c>
      <c r="C10" s="14" t="s">
        <v>18</v>
      </c>
      <c r="D10" s="13" t="s">
        <v>19</v>
      </c>
      <c r="E10" s="14" t="s">
        <v>20</v>
      </c>
      <c r="H10" s="15" t="s">
        <v>41</v>
      </c>
      <c r="I10" s="15"/>
    </row>
    <row r="11" spans="1:9" x14ac:dyDescent="0.3">
      <c r="H11" s="15"/>
      <c r="I11" s="15"/>
    </row>
    <row r="12" spans="1:9" x14ac:dyDescent="0.3">
      <c r="H12" s="12" t="s">
        <v>1</v>
      </c>
      <c r="I12" s="12" t="s">
        <v>23</v>
      </c>
    </row>
    <row r="13" spans="1:9" x14ac:dyDescent="0.3">
      <c r="A13" s="12" t="s">
        <v>21</v>
      </c>
      <c r="B13" s="13" t="s">
        <v>17</v>
      </c>
      <c r="C13" s="14" t="s">
        <v>18</v>
      </c>
      <c r="D13" s="13" t="s">
        <v>19</v>
      </c>
      <c r="E13" s="14" t="s">
        <v>20</v>
      </c>
      <c r="H13" s="11" t="s">
        <v>4</v>
      </c>
      <c r="I13" s="11" t="str">
        <f>HLOOKUP(HLOOKUP(H13,A9:E10,2,0),A13:E15,3,0)</f>
        <v>Data Structures</v>
      </c>
    </row>
    <row r="14" spans="1:9" x14ac:dyDescent="0.3">
      <c r="A14" s="12" t="s">
        <v>22</v>
      </c>
      <c r="B14" s="13" t="s">
        <v>24</v>
      </c>
      <c r="C14" s="14" t="s">
        <v>26</v>
      </c>
      <c r="D14" s="13" t="s">
        <v>28</v>
      </c>
      <c r="E14" s="14" t="s">
        <v>30</v>
      </c>
    </row>
    <row r="15" spans="1:9" x14ac:dyDescent="0.3">
      <c r="A15" s="12" t="s">
        <v>23</v>
      </c>
      <c r="B15" s="13" t="s">
        <v>25</v>
      </c>
      <c r="C15" s="14" t="s">
        <v>27</v>
      </c>
      <c r="D15" s="13" t="s">
        <v>29</v>
      </c>
      <c r="E15" s="14" t="s">
        <v>31</v>
      </c>
    </row>
    <row r="16" spans="1:9" x14ac:dyDescent="0.3">
      <c r="H16" s="12" t="s">
        <v>0</v>
      </c>
      <c r="I16" s="12" t="s">
        <v>33</v>
      </c>
    </row>
    <row r="17" spans="1:9" x14ac:dyDescent="0.3">
      <c r="H17" s="14" t="s">
        <v>6</v>
      </c>
      <c r="I17" s="11" t="str">
        <f>(HLOOKUP(HLOOKUP(HLOOKUP(HLOOKUP(H17,A4:F6,2,0),A9:E10,2,0),A13:E15,3,0),A18:E20,3,0))</f>
        <v>5 months</v>
      </c>
    </row>
    <row r="18" spans="1:9" x14ac:dyDescent="0.3">
      <c r="A18" s="12" t="s">
        <v>23</v>
      </c>
      <c r="B18" s="13" t="s">
        <v>25</v>
      </c>
      <c r="C18" s="14" t="s">
        <v>27</v>
      </c>
      <c r="D18" s="13" t="s">
        <v>29</v>
      </c>
      <c r="E18" s="14" t="s">
        <v>31</v>
      </c>
    </row>
    <row r="19" spans="1:9" x14ac:dyDescent="0.3">
      <c r="A19" s="12" t="s">
        <v>32</v>
      </c>
      <c r="B19" s="13">
        <v>4</v>
      </c>
      <c r="C19" s="14">
        <v>3</v>
      </c>
      <c r="D19" s="13">
        <v>4</v>
      </c>
      <c r="E19" s="14">
        <v>3</v>
      </c>
    </row>
    <row r="20" spans="1:9" x14ac:dyDescent="0.3">
      <c r="A20" s="12" t="s">
        <v>33</v>
      </c>
      <c r="B20" s="13" t="s">
        <v>34</v>
      </c>
      <c r="C20" s="14" t="s">
        <v>35</v>
      </c>
      <c r="D20" s="13" t="s">
        <v>34</v>
      </c>
      <c r="E20" s="14" t="s">
        <v>35</v>
      </c>
    </row>
  </sheetData>
  <mergeCells count="2">
    <mergeCell ref="H4:I5"/>
    <mergeCell ref="H10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Madhurimajanta2007@gmail.com</dc:creator>
  <cp:lastModifiedBy>salmaankhan1656@gmail.com</cp:lastModifiedBy>
  <dcterms:created xsi:type="dcterms:W3CDTF">2025-11-11T04:18:43Z</dcterms:created>
  <dcterms:modified xsi:type="dcterms:W3CDTF">2025-11-12T09:30:55Z</dcterms:modified>
</cp:coreProperties>
</file>